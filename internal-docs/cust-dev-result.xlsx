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Инструкция" sheetId="1" state="visible" r:id="rId1"/>
    <sheet name="ICP и вопросы" sheetId="2" state="visible" r:id="rId2"/>
    <sheet name="Интервью" sheetId="3" state="visible" r:id="rId3"/>
    <sheet name="Итоги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2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595959"/>
      <sz val="11"/>
    </font>
  </fonts>
  <fills count="5">
    <fill>
      <patternFill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EFEFEF"/>
        <bgColor rgb="FFFFF8D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9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bottom"/>
    </xf>
    <xf numFmtId="0" fontId="0" fillId="0" borderId="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2" min="1" max="1"/>
  </cols>
  <sheetData>
    <row r="1" ht="17.25" customHeight="1" s="13">
      <c r="A1" s="14" t="inlineStr">
        <is>
          <t>Сводная таблица по 20 интервью Этапа 1</t>
        </is>
      </c>
    </row>
    <row r="3" ht="15" customHeight="1" s="13">
      <c r="A3" s="15" t="inlineStr">
        <is>
          <t>Как заполнять</t>
        </is>
      </c>
    </row>
    <row r="4" ht="26.25" customHeight="1" s="13">
      <c r="A4" s="16" t="inlineStr">
        <is>
          <t>1. Лист «ICP и вопросы»: опишите, кого опрашиваете и почему этот сегмент, и выпишите набор вопросов с гипотезой, которую проверяет каждый вопрос.</t>
        </is>
      </c>
    </row>
    <row r="5" ht="26.25" customHeight="1" s="13">
      <c r="A5" s="16" t="inlineStr">
        <is>
          <t>2. Лист «Интервью»: одна строка на одного респондента. Серая строка с примером показывает, какого уровня детализации мы ждём, её можно удалить.</t>
        </is>
      </c>
    </row>
    <row r="6" ht="26.25" customHeight="1" s="13">
      <c r="A6" s="16" t="inlineStr">
        <is>
          <t>3. Лист «Итоги»: счётчики заполняются сами, вам остаётся описать, какие гипотезы подтвердились и что вы меняете в продукте.</t>
        </is>
      </c>
    </row>
    <row r="7" ht="26.25" customHeight="1" s="13">
      <c r="A7" s="16" t="inlineStr">
        <is>
          <t>Заполняйте только светло-жёлтые ячейки. В колонках «Формат», «Пробовал MVP» и «Результат» значение выбирается из списка.</t>
        </is>
      </c>
    </row>
    <row r="8" ht="15" customHeight="1" s="13">
      <c r="A8" s="16" t="n"/>
    </row>
    <row r="9" ht="15" customHeight="1" s="13">
      <c r="A9" s="15" t="inlineStr">
        <is>
          <t>Обезличивание</t>
        </is>
      </c>
    </row>
    <row r="10" ht="39" customHeight="1" s="13">
      <c r="A10" s="16" t="inlineStr">
        <is>
          <t>В таблице не должно быть имён, ников, телефонов, почты, ссылок на соцсети, мест работы и всего, по чему можно узнать человека. Респондентов обозначайте кодами Р1, Р2 и так далее, а профиль описывайте через роль, ситуацию и возраст диапазоном (например, «мама двоих школьников, 35–40 лет»).</t>
        </is>
      </c>
    </row>
    <row r="11" ht="26.25" customHeight="1" s="13">
      <c r="A11" s="16" t="inlineStr">
        <is>
          <t>Ссылки на записи в таблицу не добавляйте. Записи или расшифровки 2–3 интервью на выбор пришлите ментору отдельно.</t>
        </is>
      </c>
    </row>
    <row r="12" ht="15" customHeight="1" s="13">
      <c r="A12" s="16" t="n"/>
    </row>
    <row r="13" ht="15" customHeight="1" s="13">
      <c r="A13" s="15" t="inlineStr">
        <is>
          <t>Формат интервью</t>
        </is>
      </c>
    </row>
    <row r="14" ht="26.25" customHeight="1" s="13">
      <c r="A14" s="16" t="inlineStr">
        <is>
          <t>Большая часть интервью живые (примерно 15 из 20), остальные можно провести текстом в переписке, где вы переспрашиваете и уточняете ответы. Гугл-формы с галочками не подходят.</t>
        </is>
      </c>
    </row>
    <row r="15" ht="26.25" customHeight="1" s="13">
      <c r="A15" s="16" t="inlineStr">
        <is>
          <t>Если MVP уже у людей, часть интервью можно провести с теми, кто его попробовал. Начинайте такой разговор как обычный кастдев (как человек решает эту задачу сейчас, что его не устраивает, сколько времени и денег на это уходит) и только потом переходите к продукту: что делал, где застрял, будет ли пользоваться дальше. Опрашивать только своих пользователей не стоит: они уже пришли к вам, и вы не узнаете, почему не приходят остальные.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70" customWidth="1" style="12" min="2" max="2"/>
    <col width="45" customWidth="1" style="12" min="3" max="3"/>
  </cols>
  <sheetData>
    <row r="1" ht="17.25" customHeight="1" s="13">
      <c r="A1" s="14" t="inlineStr">
        <is>
          <t>ICP и набор вопросов</t>
        </is>
      </c>
    </row>
    <row r="3" ht="15" customHeight="1" s="13">
      <c r="A3" s="17" t="inlineStr">
        <is>
          <t>Кого опрашиваем (ICP)</t>
        </is>
      </c>
      <c r="B3" s="12" t="inlineStr">
        <is>
          <t>Работающие/учащиеся Android-пользователи, 18–45 лет, которые периодически задумываются «почему сегодня так тяжело» и уже отслеживают хотя бы что-то (сон, шаги, настроение) — но не получают объяснений из этих данных</t>
        </is>
      </c>
    </row>
    <row r="4" ht="45" customHeight="1" s="13">
      <c r="A4" s="18" t="inlineStr">
        <is>
          <t>Кто это (роль, ситуация, возраст диапазоном)</t>
        </is>
      </c>
      <c r="B4" s="19" t="inlineStr">
        <is>
          <t>Испытывают "необъяснимые" плохие дни — когда результат не соответствует усилиям и причина непонятна. Либо замечают паттерны сами, но не могут их систематизировать без постоянного ручного ввода</t>
        </is>
      </c>
      <c r="C4" s="20" t="n"/>
    </row>
    <row r="5" ht="45" customHeight="1" s="13">
      <c r="A5" s="18" t="inlineStr">
        <is>
          <t>Какую задачу или проблему он решает</t>
        </is>
      </c>
      <c r="B5" s="19" t="inlineStr">
        <is>
          <t>Android даёт API доступа к статистике экрана (UsageStats) и интеграции с Health Connect. Пассивный сбор без ручного ввода решает главный барьер — трение новой привычки</t>
        </is>
      </c>
      <c r="C5" s="20" t="n"/>
    </row>
    <row r="6" ht="45" customHeight="1" s="13">
      <c r="A6" s="18" t="inlineStr">
        <is>
          <t>Почему продукт нужен именно этому сегменту</t>
        </is>
      </c>
      <c r="B6" s="19" t="inlineStr">
        <is>
          <t>Чистые iPhone-пользователи без Android-устройства (нет API); люди, принципиально отказывающиеся от внешней рефлексии («сам разберусь»); аналитически самодостаточные без ощущаемой проблемы</t>
        </is>
      </c>
      <c r="C6" s="20" t="n"/>
    </row>
    <row r="7" ht="45" customHeight="1" s="13">
      <c r="A7" s="18" t="inlineStr">
        <is>
          <t>Кого не опрашиваем и почему</t>
        </is>
      </c>
      <c r="B7" s="19" t="n"/>
      <c r="C7" s="20" t="n"/>
    </row>
    <row r="9">
      <c r="A9" s="12" t="n">
        <v>1</v>
      </c>
      <c r="B9" s="12" t="inlineStr">
        <is>
          <t>Расскажи как проходит обычный день — работаешь, учишься, что делаешь вечером?</t>
        </is>
      </c>
      <c r="C9" s="12" t="inlineStr">
        <is>
          <t>Профиль и базовая ситуация: ритм жизни определяет ценность прогноза</t>
        </is>
      </c>
    </row>
    <row r="10" ht="15" customHeight="1" s="13">
      <c r="A10" s="17" t="n">
        <v>2</v>
      </c>
      <c r="B10" s="12" t="inlineStr">
        <is>
          <t>Можешь вспомнить последний раз, когда что-то в себе отслеживал — сон, настроение, шаги, калории?</t>
        </is>
      </c>
      <c r="C10" s="12" t="inlineStr">
        <is>
          <t>Есть ли опыт self-tracking: насколько аудитория уже знакома с темой</t>
        </is>
      </c>
    </row>
    <row r="11" ht="21.75" customHeight="1" s="13">
      <c r="A11" s="21" t="n">
        <v>3</v>
      </c>
      <c r="B11" s="21" t="inlineStr">
        <is>
          <t>За последний месяц был день, когда всё пошло не по плану и было непонятно почему?</t>
        </is>
      </c>
      <c r="C11" s="21" t="inlineStr">
        <is>
          <t>«Необъяснимый плохой день» — реальная боль или гипотетическая</t>
        </is>
      </c>
    </row>
    <row r="12" ht="30" customHeight="1" s="13">
      <c r="A12" s="22" t="n">
        <v>4</v>
      </c>
      <c r="B12" s="19" t="inlineStr">
        <is>
          <t>Замечал ли паттерны в себе — что если X, то обычно Y?</t>
        </is>
      </c>
      <c r="C12" s="19" t="inlineStr">
        <is>
          <t>Люди уже видят причинно-следственные связи, но не систематизируют</t>
        </is>
      </c>
    </row>
    <row r="13" ht="30" customHeight="1" s="13">
      <c r="A13" s="22" t="n">
        <v>5</v>
      </c>
      <c r="B13" s="19" t="inlineStr">
        <is>
          <t>Если бы кто-то посмотрел на твои данные и сказал почему вчера был тяжёлый день — тебе бы это было нужно?</t>
        </is>
      </c>
      <c r="C13" s="19" t="inlineStr">
        <is>
          <t>Открытость к внешнему инсайту от ИИ, не от человека</t>
        </is>
      </c>
    </row>
    <row r="14" ht="30" customHeight="1" s="13">
      <c r="A14" s="22" t="n">
        <v>6</v>
      </c>
      <c r="B14" s="19" t="inlineStr">
        <is>
          <t>(Поведенческий тест) Найди на телефоне экранное время / Digital Wellbeing — насколько быстро нашёл?</t>
        </is>
      </c>
      <c r="C14" s="19" t="inlineStr">
        <is>
          <t>Техническая грамотность и текущее отношение к статистике экрана</t>
        </is>
      </c>
    </row>
    <row r="15" ht="30" customHeight="1" s="13">
      <c r="A15" s="22" t="n">
        <v>7</v>
      </c>
      <c r="B15" s="19" t="inlineStr">
        <is>
          <t>Как живёшь с уведомлениями? Раздражает их количество, что-нибудь делаешь с ними?</t>
        </is>
      </c>
      <c r="C15" s="19" t="inlineStr">
        <is>
          <t>Толерантность к пуш-уведомлениям — главный UX-барьер retention</t>
        </is>
      </c>
    </row>
    <row r="16" ht="30" customHeight="1" s="13">
      <c r="A16" s="22" t="n">
        <v>8</v>
      </c>
      <c r="B16" s="19" t="inlineStr">
        <is>
          <t>Если приложение попросит доступ к статистике экрана и данным о сне — дашь?</t>
        </is>
      </c>
      <c r="C16" s="19" t="inlineStr">
        <is>
          <t>Барьер приватности: готовность передавать чувствительные данные</t>
        </is>
      </c>
    </row>
    <row r="17" ht="30" customHeight="1" s="13">
      <c r="A17" s="22" t="n">
        <v>9</v>
      </c>
      <c r="B17" s="19" t="inlineStr">
        <is>
          <t>(Питч) Одно утреннее уведомление с прогнозом дня, одно вечернее с кнопкой «как прошёл день», одно недельное с инсайтом. Никакого ручного ввода. Поставил бы?</t>
        </is>
      </c>
      <c r="C17" s="19" t="inlineStr">
        <is>
          <t>Product-market fit: реакция на ценностное предложение</t>
        </is>
      </c>
    </row>
    <row r="18" ht="30" customHeight="1" s="13">
      <c r="A18" s="22" t="n">
        <v>10</v>
      </c>
      <c r="B18" s="19" t="inlineStr">
        <is>
          <t>Что в этой идее смущает?</t>
        </is>
      </c>
      <c r="C18" s="19" t="inlineStr">
        <is>
          <t>Барьеры к установке и удержанию</t>
        </is>
      </c>
    </row>
    <row r="19" ht="30" customHeight="1" s="13">
      <c r="A19" s="22" t="n">
        <v>11</v>
      </c>
      <c r="B19" s="19" t="inlineStr">
        <is>
          <t>Что должно произойти, чтобы ты удалил приложение на второй день?</t>
        </is>
      </c>
      <c r="C19" s="19" t="inlineStr">
        <is>
          <t>Триггеры оттока: чего избегать в дизайне и промпте</t>
        </is>
      </c>
    </row>
    <row r="20" ht="30" customHeight="1" s="13">
      <c r="A20" s="22" t="n">
        <v>12</v>
      </c>
      <c r="B20" s="19" t="inlineStr">
        <is>
          <t>Есть ли среди знакомых кто-то, кому такое могло бы быть нужно?</t>
        </is>
      </c>
      <c r="C20" s="19" t="inlineStr">
        <is>
          <t>Реферальный потенциал и нетворкинг-сегменты</t>
        </is>
      </c>
    </row>
    <row r="21" ht="30" customHeight="1" s="13">
      <c r="A21" s="22" t="n">
        <v>10</v>
      </c>
      <c r="B21" s="19" t="n"/>
      <c r="C21" s="19" t="n"/>
    </row>
    <row r="22" ht="30" customHeight="1" s="13">
      <c r="A22" s="22" t="n">
        <v>11</v>
      </c>
      <c r="B22" s="19" t="n"/>
      <c r="C22" s="19" t="n"/>
    </row>
    <row r="23" ht="30" customHeight="1" s="13">
      <c r="A23" s="22" t="n">
        <v>12</v>
      </c>
      <c r="B23" s="19" t="n"/>
      <c r="C23" s="19" t="n"/>
    </row>
    <row r="24" ht="30" customHeight="1" s="13">
      <c r="A24" s="22" t="n">
        <v>13</v>
      </c>
      <c r="B24" s="19" t="n"/>
      <c r="C24" s="19" t="n"/>
    </row>
    <row r="25" ht="30" customHeight="1" s="13">
      <c r="A25" s="22" t="n">
        <v>14</v>
      </c>
      <c r="B25" s="19" t="n"/>
      <c r="C25" s="19" t="n"/>
    </row>
    <row r="26" ht="30" customHeight="1" s="13">
      <c r="A26" s="22" t="n">
        <v>15</v>
      </c>
      <c r="B26" s="19" t="n"/>
      <c r="C26" s="19" t="n"/>
    </row>
  </sheetData>
  <mergeCells count="4">
    <mergeCell ref="B6:C6"/>
    <mergeCell ref="B5:C5"/>
    <mergeCell ref="B4:C4"/>
    <mergeCell ref="B7:C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12" customWidth="1" style="12" min="2" max="2"/>
    <col width="18" customWidth="1" style="12" min="3" max="3"/>
    <col width="13" customWidth="1" style="12" min="4" max="4"/>
    <col width="32" customWidth="1" style="12" min="5" max="6"/>
    <col width="42" customWidth="1" style="12" min="7" max="7"/>
    <col width="34" customWidth="1" style="12" min="8" max="8"/>
    <col width="32" customWidth="1" style="12" min="9" max="9"/>
    <col width="34" customWidth="1" style="12" min="10" max="10"/>
  </cols>
  <sheetData>
    <row r="1" ht="17.25" customHeight="1" s="13">
      <c r="A1" s="14" t="inlineStr">
        <is>
          <t>Интервью: одна строка на респондента</t>
        </is>
      </c>
    </row>
    <row r="3" ht="36" customHeight="1" s="13">
      <c r="A3" s="21" t="inlineStr">
        <is>
          <t>Код</t>
        </is>
      </c>
      <c r="B3" s="21" t="inlineStr">
        <is>
          <t>Дата</t>
        </is>
      </c>
      <c r="C3" s="21" t="inlineStr">
        <is>
          <t>Формат</t>
        </is>
      </c>
      <c r="D3" s="21" t="inlineStr">
        <is>
          <t>Пробовал MVP</t>
        </is>
      </c>
      <c r="E3" s="21" t="inlineStr">
        <is>
          <t>Профиль респондента (без персональных данных)</t>
        </is>
      </c>
      <c r="F3" s="21" t="inlineStr">
        <is>
          <t>Почему подходит под ICP</t>
        </is>
      </c>
      <c r="G3" s="21" t="inlineStr">
        <is>
          <t>Ключевые ответы</t>
        </is>
      </c>
      <c r="H3" s="21" t="inlineStr">
        <is>
          <t>Что нового узнали</t>
        </is>
      </c>
      <c r="I3" s="21" t="inlineStr">
        <is>
          <t>Вывод</t>
        </is>
      </c>
      <c r="J3" s="21" t="inlineStr">
        <is>
          <t>Как вывод влияет на продукт</t>
        </is>
      </c>
    </row>
    <row r="4" ht="105" customHeight="1" s="13">
      <c r="A4" s="23" t="inlineStr">
        <is>
          <t>Пример</t>
        </is>
      </c>
      <c r="B4" s="23" t="inlineStr">
        <is>
          <t>05.10.2026</t>
        </is>
      </c>
      <c r="C4" s="23" t="inlineStr">
        <is>
          <t>Живое интервью</t>
        </is>
      </c>
      <c r="D4" s="23" t="inlineStr">
        <is>
          <t>Да</t>
        </is>
      </c>
      <c r="E4" s="23" t="inlineStr">
        <is>
          <t>Мама двоих школьников (3 и 6 класс), 35–40 лет, работает полный день</t>
        </is>
      </c>
      <c r="F4" s="23" t="inlineStr">
        <is>
          <t>Каждый вечер проверяет домашку и тратит на это больше часа, сама ищет решения</t>
        </is>
      </c>
      <c r="G4" s="23" t="inlineStr">
        <is>
          <t>Проверяет домашку после 21:00, когда дети уже устали. В MVP загрузила два задания, на третьем бросила, потому что не поняла, как сфотографировать несколько страниц</t>
        </is>
      </c>
      <c r="H4" s="23" t="inlineStr">
        <is>
          <t>Родитель готов пользоваться ботом, если ответ приходит за пару минут. Главный барьер в загрузке, а не в качестве проверки</t>
        </is>
      </c>
      <c r="I4" s="23" t="inlineStr">
        <is>
          <t>Загрузка нескольких страниц мешает пользоваться продуктом регулярно</t>
        </is>
      </c>
      <c r="J4" s="23" t="inlineStr">
        <is>
          <t>Ставим в приоритет загрузку нескольких фото одним сообщением, следующую неделю тратим на неё</t>
        </is>
      </c>
    </row>
    <row r="5" ht="60" customHeight="1" s="13">
      <c r="A5" s="18" t="inlineStr">
        <is>
          <t>Р1</t>
        </is>
      </c>
      <c r="B5" s="19" t="inlineStr">
        <is>
          <t>25.09.2026</t>
        </is>
      </c>
      <c r="C5" s="19" t="inlineStr">
        <is>
          <t>Живое интервью</t>
        </is>
      </c>
      <c r="D5" s="19" t="inlineStr">
        <is>
          <t>Нет</t>
        </is>
      </c>
      <c r="E5" s="19" t="inlineStr">
        <is>
          <t>Руководитель отдела продаж, 35–40 лет, активно занимается бегом (Garmin)</t>
        </is>
      </c>
      <c r="F5" s="19" t="inlineStr">
        <is>
          <t>Активный трекер здоровья — испытывает разрыв между объективными данными и самочувствием</t>
        </is>
      </c>
      <c r="G5" s="19" t="inlineStr">
        <is>
          <t>Не понимает почему при 7 часах сна чувствует себя плохо. Пульс ночью мог быть высоким. Экранное время нашла через «учёт активности» — долго</t>
        </is>
      </c>
      <c r="H5" s="19" t="inlineStr">
        <is>
          <t>Качество сна ≠ длительность. Без физического датчика скептицизм к данным у активных трекеров здоровья</t>
        </is>
      </c>
      <c r="I5" s="19" t="inlineStr">
        <is>
          <t>Открыта, если продукт объяснит механику и интегрируется с Health Connect</t>
        </is>
      </c>
      <c r="J5" s="19" t="inlineStr">
        <is>
          <t>Приоритизировать интеграцию с Health Connect (пульс/сон с часов) как источник данных</t>
        </is>
      </c>
    </row>
    <row r="6" ht="60" customHeight="1" s="13">
      <c r="A6" s="18" t="inlineStr">
        <is>
          <t>Р2</t>
        </is>
      </c>
      <c r="B6" s="19" t="inlineStr">
        <is>
          <t>25.09.2026</t>
        </is>
      </c>
      <c r="C6" s="19" t="inlineStr">
        <is>
          <t>Живое интервью</t>
        </is>
      </c>
      <c r="D6" s="19" t="inlineStr">
        <is>
          <t>Нет</t>
        </is>
      </c>
      <c r="E6" s="19" t="inlineStr">
        <is>
          <t>Менеджер по продажам, 30–35 лет, iPhone</t>
        </is>
      </c>
      <c r="F6" s="19" t="inlineStr">
        <is>
          <t>Замечает «плохие дни без причины» — ровно та боль, которую продукт решает</t>
        </is>
      </c>
      <c r="G6" s="19" t="inlineStr">
        <is>
          <t>«Если бы оно работало — я бы тебе ссылочку дал». Сам предложил знакомого. Находит Screen Time быстро</t>
        </is>
      </c>
      <c r="H6" s="19" t="inlineStr">
        <is>
          <t>«Плохие дни без причины» подтверждена как реальная боль. Нетворкинг-реакция как прокси PMF</t>
        </is>
      </c>
      <c r="I6" s="19" t="inlineStr">
        <is>
          <t>Высокая вовлечённость, но iPhone — не может установить</t>
        </is>
      </c>
      <c r="J6" s="19" t="inlineStr">
        <is>
          <t>Формулировка «непонятный плохой день» → маркетинговый месседж. iOS waitlist</t>
        </is>
      </c>
    </row>
    <row r="7" ht="60" customHeight="1" s="13">
      <c r="A7" s="18" t="inlineStr">
        <is>
          <t>Р3</t>
        </is>
      </c>
      <c r="B7" s="19" t="inlineStr">
        <is>
          <t>25.09.2026</t>
        </is>
      </c>
      <c r="C7" s="19" t="inlineStr">
        <is>
          <t>Живое интервью</t>
        </is>
      </c>
      <c r="D7" s="19" t="inlineStr">
        <is>
          <t>Нет</t>
        </is>
      </c>
      <c r="E7" s="19" t="inlineStr">
        <is>
          <t>Менеджер по продажам, 25–30 лет</t>
        </is>
      </c>
      <c r="F7" s="19" t="inlineStr">
        <is>
          <t>Замечает связь работа→состояние, но не отслеживает — проверка гипотезы без трекинга</t>
        </is>
      </c>
      <c r="G7" s="19" t="inlineStr">
        <is>
          <t>«Прикольно» несколько раз, но «не факт что следовала бы». Экранное время не нашла</t>
        </is>
      </c>
      <c r="H7" s="19" t="inlineStr">
        <is>
          <t>Прескриптивный тон → ощущение вины → отток. «Прикольно» без боли ≠ установка</t>
        </is>
      </c>
      <c r="I7" s="19" t="inlineStr">
        <is>
          <t>Условная аудитория: интерес есть, мотивация к действию низкая без реальной боли</t>
        </is>
      </c>
      <c r="J7" s="19" t="inlineStr">
        <is>
          <t>Промпт запрещает советы и прескриптивный тон. Аудитория без боли — не приоритет</t>
        </is>
      </c>
    </row>
    <row r="8" ht="60" customHeight="1" s="13">
      <c r="A8" s="18" t="inlineStr">
        <is>
          <t>Р4</t>
        </is>
      </c>
      <c r="B8" s="19" t="inlineStr">
        <is>
          <t>26.09.2026</t>
        </is>
      </c>
      <c r="C8" s="19" t="inlineStr">
        <is>
          <t>Живое интервью</t>
        </is>
      </c>
      <c r="D8" s="19" t="inlineStr">
        <is>
          <t>Нет</t>
        </is>
      </c>
      <c r="E8" s="19" t="inlineStr">
        <is>
          <t>Продакт-менеджер / консалтинг, 30–35 лет, активно трекает здоровье (несколько систем)</t>
        </is>
      </c>
      <c r="F8" s="19" t="inlineStr">
        <is>
          <t>Data-savvy пользователь с максимальным трекингом — проверка, нужен ли ещё один слой</t>
        </is>
      </c>
      <c r="G8" s="19" t="inlineStr">
        <is>
          <t>«Данные идут в систему, а инсайт не возвращается — записываю чтобы записать». Строит таблицу биоритмов вручную</t>
        </is>
      </c>
      <c r="H8" s="19" t="inlineStr">
        <is>
          <t>Главная боль data-savvy сегмента: данные собираются, но обратной связи нет. Хочет понять время восстановления после эмоций</t>
        </is>
      </c>
      <c r="I8" s="19" t="inlineStr">
        <is>
          <t>Самая мотивированная установить. Продукт закрывает её реальный незакрытый запрос</t>
        </is>
      </c>
      <c r="J8" s="19" t="inlineStr">
        <is>
          <t>Промпт строится на объяснении «почему», не «что делать». Показывать паттерны во времени</t>
        </is>
      </c>
    </row>
    <row r="9" ht="60" customHeight="1" s="13">
      <c r="A9" s="18" t="inlineStr">
        <is>
          <t>Р5</t>
        </is>
      </c>
      <c r="B9" s="19" t="inlineStr">
        <is>
          <t>26.09.2026</t>
        </is>
      </c>
      <c r="C9" s="19" t="inlineStr">
        <is>
          <t>Живое интервью</t>
        </is>
      </c>
      <c r="D9" s="19" t="inlineStr">
        <is>
          <t>Нет</t>
        </is>
      </c>
      <c r="E9" s="19" t="inlineStr">
        <is>
          <t>DevOps-инженер, 25–30 лет</t>
        </is>
      </c>
      <c r="F9" s="19" t="inlineStr">
        <is>
          <t>Технический пользователь — проверка барьера приватности в tech-аудитории</t>
        </is>
      </c>
      <c r="G9" s="19" t="inlineStr">
        <is>
          <t>«Нравится, что всё само и от меня только одно нажатие вечером». Беспокоит: непонятно куда уходят данные</t>
        </is>
      </c>
      <c r="H9" s="19" t="inlineStr">
        <is>
          <t>Приватность данных — отдельный барьер для технической аудитории. Один абзац объяснения снимает</t>
        </is>
      </c>
      <c r="I9" s="19" t="inlineStr">
        <is>
          <t>Установит при условии прозрачности о данных. Прогнозы «в точку» — ключевое условие</t>
        </is>
      </c>
      <c r="J9" s="19" t="inlineStr">
        <is>
          <t>Онбординг: один абзац о том, что и куда отправляется. Серверная логика — не на устройстве</t>
        </is>
      </c>
    </row>
    <row r="10" ht="60" customHeight="1" s="13">
      <c r="A10" s="18" t="inlineStr">
        <is>
          <t>Р6</t>
        </is>
      </c>
      <c r="B10" s="19" t="inlineStr">
        <is>
          <t>26.09.2026</t>
        </is>
      </c>
      <c r="C10" s="19" t="inlineStr">
        <is>
          <t>Живое интервью</t>
        </is>
      </c>
      <c r="D10" s="19" t="inlineStr">
        <is>
          <t>Нет</t>
        </is>
      </c>
      <c r="E10" s="19" t="inlineStr">
        <is>
          <t>Разработчик, 25–30 лет</t>
        </is>
      </c>
      <c r="F10" s="19" t="inlineStr">
        <is>
          <t>Пробовал EEG-трекинг — максимальный опыт с самоотслеживанием, но бросил</t>
        </is>
      </c>
      <c r="G10" s="19" t="inlineStr">
        <is>
          <t>«Большинство таких приложений — для пользования нужна новая привычка, а это самое тяжёлое». Пассивный сбор = решение</t>
        </is>
      </c>
      <c r="H10" s="19" t="inlineStr">
        <is>
          <t>Новая привычка = главный барьер. Пассивный сбор устраняет барьер принципиально, не снижает трение</t>
        </is>
      </c>
      <c r="I10" s="19" t="inlineStr">
        <is>
          <t>Скачал бы сразу. Лучшая формулировка ценности продукта получена от самого респондента</t>
        </is>
      </c>
      <c r="J10" s="19" t="inlineStr">
        <is>
          <t>Пассивный сбор = core value prop. Использовать формулировку в питче и онбординге</t>
        </is>
      </c>
    </row>
    <row r="11" ht="60" customHeight="1" s="13">
      <c r="A11" s="18" t="inlineStr">
        <is>
          <t>Р7</t>
        </is>
      </c>
      <c r="B11" s="19" t="inlineStr">
        <is>
          <t>27.09.2026</t>
        </is>
      </c>
      <c r="C11" s="19" t="inlineStr">
        <is>
          <t>Живое интервью</t>
        </is>
      </c>
      <c r="D11" s="19" t="inlineStr">
        <is>
          <t>Нет</t>
        </is>
      </c>
      <c r="E11" s="19" t="inlineStr">
        <is>
          <t>Специалист технической поддержки, 20–25 лет, Amazfit</t>
        </is>
      </c>
      <c r="F11" s="19" t="inlineStr">
        <is>
          <t>Базовый трекер, молодой пользователь — проверка гипотезы о шаблонности прогнозов</t>
        </is>
      </c>
      <c r="G11" s="19" t="inlineStr">
        <is>
          <t>«Если я могу на них повлиять — пересмотрел бы». Шаблонные прогнозы — главный риск удаления</t>
        </is>
      </c>
      <c r="H11" s="19" t="inlineStr">
        <is>
          <t>Шаблонность прогнозов: третий независимый голос. Системный риск — не единичный кейс</t>
        </is>
      </c>
      <c r="I11" s="19" t="inlineStr">
        <is>
          <t>Установит если прогнозы попадают. Готов дать контакт позже</t>
        </is>
      </c>
      <c r="J11" s="19" t="inlineStr">
        <is>
          <t>LLM-вариативность формулировок + учёт истории — приоритет промпта</t>
        </is>
      </c>
    </row>
    <row r="12" ht="60" customHeight="1" s="13">
      <c r="A12" s="18" t="inlineStr">
        <is>
          <t>Р8</t>
        </is>
      </c>
      <c r="B12" s="19" t="inlineStr">
        <is>
          <t>27.09.2026</t>
        </is>
      </c>
      <c r="C12" s="19" t="inlineStr">
        <is>
          <t>Живое интервью</t>
        </is>
      </c>
      <c r="D12" s="19" t="inlineStr">
        <is>
          <t>Нет</t>
        </is>
      </c>
      <c r="E12" s="19" t="inlineStr">
        <is>
          <t>Офисный сотрудник, 20–25 лет</t>
        </is>
      </c>
      <c r="F12" s="19" t="inlineStr">
        <is>
          <t>Пассивный тип: не трекает, нет осознанного запроса — проверка гипотезы о нулевом барьере</t>
        </is>
      </c>
      <c r="G12" s="19" t="inlineStr">
        <is>
          <t>«Такие приложения где нужно описывать мысли — устаёшь». Без ручного ввода остался бы</t>
        </is>
      </c>
      <c r="H12" s="19" t="inlineStr">
        <is>
          <t>Пассивный тип без запроса на трекинг устанавливает при нулевом трении. Ручной ввод = смерть для сегмента</t>
        </is>
      </c>
      <c r="I12" s="19" t="inlineStr">
        <is>
          <t>Установит если ничего вводить не нужно. Единственный аргумент: «пару кнопок»</t>
        </is>
      </c>
      <c r="J12" s="19" t="inlineStr">
        <is>
          <t>Никаких форм ввода. Вечерний чекин — только 3 кнопки в уведомлении</t>
        </is>
      </c>
    </row>
    <row r="13" ht="60" customHeight="1" s="13">
      <c r="A13" s="18" t="inlineStr">
        <is>
          <t>Р9</t>
        </is>
      </c>
      <c r="B13" s="19" t="inlineStr">
        <is>
          <t>28.09.2026</t>
        </is>
      </c>
      <c r="C13" s="19" t="inlineStr">
        <is>
          <t>Живое интервью</t>
        </is>
      </c>
      <c r="D13" s="19" t="inlineStr">
        <is>
          <t>Нет</t>
        </is>
      </c>
      <c r="E13" s="19" t="inlineStr">
        <is>
          <t>Менеджер по продажам, 30–35 лет</t>
        </is>
      </c>
      <c r="F13" s="19" t="inlineStr">
        <is>
          <t>Активный продажник — проверка гипотезы о батарее как техническом барьере</t>
        </is>
      </c>
      <c r="G13" s="19" t="inlineStr">
        <is>
          <t>«Как минимум принял бы к сведению». Беспокоит фоновая работа и батарея. Дал контакт девушки</t>
        </is>
      </c>
      <c r="H13" s="19" t="inlineStr">
        <is>
          <t>Батарея — первый технический барьер, не связанный с приватностью. Первое упоминание в выборке</t>
        </is>
      </c>
      <c r="I13" s="19" t="inlineStr">
        <is>
          <t>Условно установит. Реферальный потенциал: контакт девушки с Android и снами</t>
        </is>
      </c>
      <c r="J13" s="19" t="inlineStr">
        <is>
          <t>Онбординг: «работает в фоне с минимальным расходом батареи». Бенчмарк расхода</t>
        </is>
      </c>
    </row>
    <row r="14" ht="60" customHeight="1" s="13">
      <c r="A14" s="18" t="inlineStr">
        <is>
          <t>Р10</t>
        </is>
      </c>
      <c r="B14" s="19" t="inlineStr">
        <is>
          <t>28.09.2026</t>
        </is>
      </c>
      <c r="C14" s="19" t="inlineStr">
        <is>
          <t>Живое интервью</t>
        </is>
      </c>
      <c r="D14" s="19" t="inlineStr">
        <is>
          <t>Нет</t>
        </is>
      </c>
      <c r="E14" s="19" t="inlineStr">
        <is>
          <t>Менеджер по продажам, 35–40 лет, Apple Health 3 года без пропуска</t>
        </is>
      </c>
      <c r="F14" s="19" t="inlineStr">
        <is>
          <t>Активный трекер здоровья без часов — граница достаточности данных без датчиков</t>
        </is>
      </c>
      <c r="G14" s="19" t="inlineStr">
        <is>
          <t>«За счёт чего статистика если только экранное время? Если бы часы были — другой момент»</t>
        </is>
      </c>
      <c r="H14" s="19" t="inlineStr">
        <is>
          <t>Без физических датчиков скептицизм у активных трекеров. Зеркало Р1: паттерн сегмента</t>
        </is>
      </c>
      <c r="I14" s="19" t="inlineStr">
        <is>
          <t>Установит условно. Второй подряд: датчики = барьер у активных трекеров</t>
        </is>
      </c>
      <c r="J14" s="19" t="inlineStr">
        <is>
          <t>Health Connect (шаги/сон/пульс) снимает барьер у сегмента активных трекеров</t>
        </is>
      </c>
    </row>
    <row r="15" ht="60" customHeight="1" s="13">
      <c r="A15" s="18" t="inlineStr">
        <is>
          <t>Р11</t>
        </is>
      </c>
      <c r="B15" s="19" t="inlineStr">
        <is>
          <t>28.09.2026</t>
        </is>
      </c>
      <c r="C15" s="19" t="inlineStr">
        <is>
          <t>Живое интервью</t>
        </is>
      </c>
      <c r="D15" s="19" t="inlineStr">
        <is>
          <t>Да</t>
        </is>
      </c>
      <c r="E15" s="19" t="inlineStr">
        <is>
          <t>Разработчик (Java), 20–25 лет, Galaxy Watch 5 Pro</t>
        </is>
      </c>
      <c r="F15" s="19" t="inlineStr">
        <is>
          <t>Активный трекер с Galaxy AI — проверка конкурентной дифференциации</t>
        </is>
      </c>
      <c r="G15" s="19" t="inlineStr">
        <is>
          <t>Вербально сказал «скорее нет». Установил приложение сразу после интервью</t>
        </is>
      </c>
      <c r="H15" s="19" t="inlineStr">
        <is>
          <t>Вербальный скептицизм ≠ поведение. Galaxy AI конкурирует только у владельцев Samsung Galaxy Watch</t>
        </is>
      </c>
      <c r="I15" s="19" t="inlineStr">
        <is>
          <t>Установил несмотря на скепсис. 100% конверсия на Android без Samsung Watch открыта</t>
        </is>
      </c>
      <c r="J15" s="19" t="inlineStr">
        <is>
          <t>Galaxy AI — нишевый конкурент. Основная Android-аудитория без Samsung Watch открыта</t>
        </is>
      </c>
    </row>
    <row r="16" ht="60" customHeight="1" s="13">
      <c r="A16" s="18" t="inlineStr">
        <is>
          <t>Р12</t>
        </is>
      </c>
      <c r="B16" s="19" t="inlineStr">
        <is>
          <t>28.09.2026</t>
        </is>
      </c>
      <c r="C16" s="19" t="inlineStr">
        <is>
          <t>Живое интервью</t>
        </is>
      </c>
      <c r="D16" s="19" t="inlineStr">
        <is>
          <t>Нет</t>
        </is>
      </c>
      <c r="E16" s="19" t="inlineStr">
        <is>
          <t>Генеральный директор, 30–35 лет, iPhone, Apple Watch</t>
        </is>
      </c>
      <c r="F16" s="19" t="inlineStr">
        <is>
          <t>CEO с Apple Watch — проверка iOS-потолка и запроса на нетривиальные инсайты</t>
        </is>
      </c>
      <c r="G16" s="19" t="inlineStr">
        <is>
          <t>«Ручного ввода нет — заебись, потому что его никто не будет делать. Вся система рушится на том, что нужно что-то вводить»</t>
        </is>
      </c>
      <c r="H16" s="19" t="inlineStr">
        <is>
          <t>iOS-потолок: не может установить. «Без ручного ввода» = готовая формулировка ценности</t>
        </is>
      </c>
      <c r="I16" s="19" t="inlineStr">
        <is>
          <t>Нет (iPhone). Дал лид на знакомого. Хочет неочевидные инсайты, не «мало спал — сонный»</t>
        </is>
      </c>
      <c r="J16" s="19" t="inlineStr">
        <is>
          <t>iOS waitlist вместо порта. Промпт не должен выдавать банальные корреляции</t>
        </is>
      </c>
    </row>
    <row r="17" ht="60" customHeight="1" s="13">
      <c r="A17" s="18" t="inlineStr">
        <is>
          <t>Р13</t>
        </is>
      </c>
      <c r="B17" s="19" t="inlineStr">
        <is>
          <t>29.09.2026</t>
        </is>
      </c>
      <c r="C17" s="19" t="inlineStr">
        <is>
          <t>Живое интервью</t>
        </is>
      </c>
      <c r="D17" s="19" t="inlineStr">
        <is>
          <t>Нет</t>
        </is>
      </c>
      <c r="E17" s="19" t="inlineStr">
        <is>
          <t>Студент + разработчик, 18–22 лет</t>
        </is>
      </c>
      <c r="F17" s="19" t="inlineStr">
        <is>
          <t>Молодой tech-пользователь с высокой приватностной чувствительностью</t>
        </is>
      </c>
      <c r="G17" s="19" t="inlineStr">
        <is>
          <t>«Если работало бы с лимитированным доступом, но с меньшей точностью — с пояснением почему каждое разрешение влияет»</t>
        </is>
      </c>
      <c r="H17" s="19" t="inlineStr">
        <is>
          <t>Модульность разрешений как решение приватности. Утечки Яндекса как отрицательный референс</t>
        </is>
      </c>
      <c r="I17" s="19" t="inlineStr">
        <is>
          <t>Попробует. Хочет контроль над доступом, не полный отказ</t>
        </is>
      </c>
      <c r="J17" s="19" t="inlineStr">
        <is>
          <t>Объяснять что даёт каждое разрешение (точность ↔ приватность). Базовый режим без сна</t>
        </is>
      </c>
    </row>
    <row r="18" ht="60" customHeight="1" s="13">
      <c r="A18" s="18" t="inlineStr">
        <is>
          <t>Р14</t>
        </is>
      </c>
      <c r="B18" s="19" t="inlineStr">
        <is>
          <t>29.09.2026</t>
        </is>
      </c>
      <c r="C18" s="19" t="inlineStr">
        <is>
          <t>Живое интервью</t>
        </is>
      </c>
      <c r="D18" s="19" t="inlineStr">
        <is>
          <t>Нет</t>
        </is>
      </c>
      <c r="E18" s="19" t="inlineStr">
        <is>
          <t>Продакт-дизайнер, 30–35 лет, 3 года фитнес-кольцо</t>
        </is>
      </c>
      <c r="F18" s="19" t="inlineStr">
        <is>
          <t>Аналитически самодостаточный пользователь — проверка границы ICP</t>
        </is>
      </c>
      <c r="G18" s="19" t="inlineStr">
        <is>
          <t>«Я сама прекрасно понимаю что и почему. Абстрактный инсайт мне без необходимости»</t>
        </is>
      </c>
      <c r="H18" s="19" t="inlineStr">
        <is>
          <t>Аналитически самодостаточные — не наша аудитория. Проблемы нет → продукт не нужен</t>
        </is>
      </c>
      <c r="I18" s="19" t="inlineStr">
        <is>
          <t>Нет. Дала лид на подругу-трекера. Второй «нет» — уточняет границу ICP</t>
        </is>
      </c>
      <c r="J18" s="19" t="inlineStr">
        <is>
          <t>Не инвестировать в функции для самодостаточного сегмента. ICP boundary зафиксирован</t>
        </is>
      </c>
    </row>
    <row r="19" ht="60" customHeight="1" s="13">
      <c r="A19" s="18" t="inlineStr">
        <is>
          <t>Р15</t>
        </is>
      </c>
      <c r="B19" s="19" t="inlineStr">
        <is>
          <t>30.09.2026</t>
        </is>
      </c>
      <c r="C19" s="19" t="inlineStr">
        <is>
          <t>Живое интервью</t>
        </is>
      </c>
      <c r="D19" s="19" t="inlineStr">
        <is>
          <t>Нет</t>
        </is>
      </c>
      <c r="E19" s="19" t="inlineStr">
        <is>
          <t>Работник сферы услуг, 18–22 лет</t>
        </is>
      </c>
      <c r="F19" s="19" t="inlineStr">
        <is>
          <t>Молодой пользователь, принимает лекарства — трекинг сна/настроения по необходимости</t>
        </is>
      </c>
      <c r="G19" s="19" t="inlineStr">
        <is>
          <t>«Если это анализ статистики на основе моих данных — очень отлично. Если начнёт работать как гороскоп — удалю»</t>
        </is>
      </c>
      <c r="H19" s="19" t="inlineStr">
        <is>
          <t>«Гороскоп» = готовая антитеза продукта. Чёткая формулировка разницы аналитики и шаблона</t>
        </is>
      </c>
      <c r="I19" s="19" t="inlineStr">
        <is>
          <t>Да — сам искал такое приложение. Один из самых мотивированных в выборке</t>
        </is>
      </c>
      <c r="J19" s="19" t="inlineStr">
        <is>
          <t>Питч: «не гороскоп — аналитика на твоих данных». Показывать данные-основу прогноза</t>
        </is>
      </c>
    </row>
    <row r="20" ht="60" customHeight="1" s="13">
      <c r="A20" s="18" t="inlineStr">
        <is>
          <t>Р16</t>
        </is>
      </c>
      <c r="B20" s="19" t="inlineStr">
        <is>
          <t>30.09.2026</t>
        </is>
      </c>
      <c r="C20" s="19" t="inlineStr">
        <is>
          <t>Живое интервью</t>
        </is>
      </c>
      <c r="D20" s="19" t="inlineStr">
        <is>
          <t>Нет</t>
        </is>
      </c>
      <c r="E20" s="19" t="inlineStr">
        <is>
          <t>Фрилансер (творческая занятость), 28–33 лет</t>
        </is>
      </c>
      <c r="F20" s="19" t="inlineStr">
        <is>
          <t>Фриланс-прокрастинатор с высокой саморефлексией — проверка риска self-loathing</t>
        </is>
      </c>
      <c r="G20" s="19" t="inlineStr">
        <is>
          <t>«Когда-то посмотрела и ужаснулась. Больше туда не смотрю». «Возможно буду ещё больше страдать и ненавидеть себя»</t>
        </is>
      </c>
      <c r="H20" s="19" t="inlineStr">
        <is>
          <t>Self-loathing риск для избегающих Screen Time. Тон без осуждения критичен. Первый запрос на учёт цикла</t>
        </is>
      </c>
      <c r="I20" s="19" t="inlineStr">
        <is>
          <t>Установит. Платная подписка — триггер удаления. Гендерная персонализация — roadmap v2</t>
        </is>
      </c>
      <c r="J20" s="19" t="inlineStr">
        <is>
          <t>Промпт: только прогноз, никогда не называть цифры экранного времени. Нейтральный тон</t>
        </is>
      </c>
    </row>
    <row r="21" ht="60" customHeight="1" s="13">
      <c r="A21" s="18" t="inlineStr">
        <is>
          <t>Р17</t>
        </is>
      </c>
      <c r="B21" s="19" t="inlineStr">
        <is>
          <t>01.10.2026</t>
        </is>
      </c>
      <c r="C21" s="19" t="inlineStr">
        <is>
          <t>Живое интервью</t>
        </is>
      </c>
      <c r="D21" s="19" t="inlineStr">
        <is>
          <t>Нет</t>
        </is>
      </c>
      <c r="E21" s="19" t="inlineStr">
        <is>
          <t>Родитель в декрете / part-time занятость, 32–37 лет</t>
        </is>
      </c>
      <c r="F21" s="19" t="inlineStr">
        <is>
          <t>Тревожный профиль с КПТ-самоуправлением — проверка гипотезы о ежедневном анализе</t>
        </is>
      </c>
      <c r="G21" s="19" t="inlineStr">
        <is>
          <t>«Мне намного проще не анализировать. Меньше анализирую — больше принимаю». Дневная детализация вводит в тревогу</t>
        </is>
      </c>
      <c r="H21" s="19" t="inlineStr">
        <is>
          <t>UX-баг: «статистика экрана» = страх видеозаписи переписок. Тревожный тип хочет только агрегат</t>
        </is>
      </c>
      <c r="I21" s="19" t="inlineStr">
        <is>
          <t>Условно. Ежедневный анализ вреден, месячная сводка — норм. Только общий чат для реферала</t>
        </is>
      </c>
      <c r="J21" s="19" t="inlineStr">
        <is>
          <t>Онбординг: объяснять разрешение через негатив («не видит что на экране»). Опция агрегата — roadmap</t>
        </is>
      </c>
    </row>
    <row r="22" ht="60" customHeight="1" s="13">
      <c r="A22" s="18" t="inlineStr">
        <is>
          <t>Р18</t>
        </is>
      </c>
      <c r="B22" s="19" t="inlineStr">
        <is>
          <t>01.10.2026</t>
        </is>
      </c>
      <c r="C22" s="19" t="inlineStr">
        <is>
          <t>Живое интервью</t>
        </is>
      </c>
      <c r="D22" s="19" t="inlineStr">
        <is>
          <t>Нет</t>
        </is>
      </c>
      <c r="E22" s="19" t="inlineStr">
        <is>
          <t>UX-дизайнер, 28–33 лет</t>
        </is>
      </c>
      <c r="F22" s="19" t="inlineStr">
        <is>
          <t>Профессиональный UX-опыт — экспертная оценка онбординга и разрешений</t>
        </is>
      </c>
      <c r="G22" s="19" t="inlineStr">
        <is>
          <t>«Дайте чуть-чуть подглядеть что у вас там, потому что хочется сначала увидеть приложение, а потом давать данные»</t>
        </is>
      </c>
      <c r="H22" s="19" t="inlineStr">
        <is>
          <t>Разрешения до демо ценности = потеря конверсии. Профессиональный UX-совет от целевого пользователя</t>
        </is>
      </c>
      <c r="I22" s="19" t="inlineStr">
        <is>
          <t>Да. Хочет сократить экранное время, не получается — прогноз как внешний стимул</t>
        </is>
      </c>
      <c r="J22" s="19" t="inlineStr">
        <is>
          <t>Онбординг: показывать пример инсайта ДО запроса разрешений. Поздний permission flow</t>
        </is>
      </c>
    </row>
    <row r="23" ht="60" customHeight="1" s="13">
      <c r="A23" s="18" t="inlineStr">
        <is>
          <t>Р19</t>
        </is>
      </c>
      <c r="B23" s="19" t="inlineStr">
        <is>
          <t>02.10.2026</t>
        </is>
      </c>
      <c r="C23" s="19" t="inlineStr">
        <is>
          <t>Текстовая переписка</t>
        </is>
      </c>
      <c r="D23" s="19" t="inlineStr">
        <is>
          <t>Нет</t>
        </is>
      </c>
      <c r="E23" s="19" t="inlineStr">
        <is>
          <t>Разработчик, 25–35 лет, активный (спорт, частые выходы)</t>
        </is>
      </c>
      <c r="F23" s="19" t="inlineStr">
        <is>
          <t>Технический пользователь без выраженной боли — проверка гипотезы о гибком режиме</t>
        </is>
      </c>
      <c r="G23" s="19" t="inlineStr">
        <is>
          <t>«Хочу в некоторые дни просто посмотреть, а когда-то подробно расписать что и как»</t>
        </is>
      </c>
      <c r="H23" s="19" t="inlineStr">
        <is>
          <t>Гибридный режим: иногда просто глянуть цифру, иногда погрузиться. Скептик к примитивной статистике</t>
        </is>
      </c>
      <c r="I23" s="19" t="inlineStr">
        <is>
          <t>Условно. Нужен гибкий уровень глубины взаимодействия</t>
        </is>
      </c>
      <c r="J23" s="19" t="inlineStr">
        <is>
          <t>Навигация «краткий / подробный» без трения. Демо неочевидного инсайта в онбординге</t>
        </is>
      </c>
    </row>
    <row r="24" ht="60" customHeight="1" s="13">
      <c r="A24" s="18" t="inlineStr">
        <is>
          <t>Р20</t>
        </is>
      </c>
      <c r="B24" s="19" t="inlineStr">
        <is>
          <t>02.10.2026</t>
        </is>
      </c>
      <c r="C24" s="19" t="inlineStr">
        <is>
          <t>Живое интервью</t>
        </is>
      </c>
      <c r="D24" s="19" t="inlineStr">
        <is>
          <t>Нет</t>
        </is>
      </c>
      <c r="E24" s="19" t="inlineStr">
        <is>
          <t>Офисный сотрудник (пятидневка), 28–35 лет</t>
        </is>
      </c>
      <c r="F24" s="19" t="inlineStr">
        <is>
          <t>Осознанный пользователь, снижает думскроллинг — проверка барьера данных о сне</t>
        </is>
      </c>
      <c r="G24" s="19" t="inlineStr">
        <is>
          <t>«Чем мы старше, тем чаще анализируем — предугадать спады/подъёмы». Данные о сне — «предпочту не собирать»</t>
        </is>
      </c>
      <c r="H24" s="19" t="inlineStr">
        <is>
          <t>Данные о сне = наиболее интимная зона. Эффект домино: лучшее описание каскадного паттерна в выборке</t>
        </is>
      </c>
      <c r="I24" s="19" t="inlineStr">
        <is>
          <t>Условно, только по рекомендации или при полной прозрачности данных о сне</t>
        </is>
      </c>
      <c r="J24" s="19" t="inlineStr">
        <is>
          <t>Онбординг: отдельная карточка «данные о сне обрабатываются локально и не передаются»</t>
        </is>
      </c>
    </row>
    <row r="25">
      <c r="A25" s="12" t="inlineStr">
        <is>
          <t>Р21</t>
        </is>
      </c>
      <c r="B25" s="12" t="inlineStr">
        <is>
          <t>03.10.2026</t>
        </is>
      </c>
      <c r="C25" s="12" t="inlineStr">
        <is>
          <t>Текстовая переписка</t>
        </is>
      </c>
      <c r="D25" s="12" t="inlineStr">
        <is>
          <t>Нет</t>
        </is>
      </c>
      <c r="E25" s="12" t="inlineStr">
        <is>
          <t>Студент колледжа, 18–22 лет</t>
        </is>
      </c>
      <c r="F25" s="12" t="inlineStr">
        <is>
          <t>Принципиальный скептик — проверка второго типа не-аудитории (≠ Р14)</t>
        </is>
      </c>
      <c r="G25" s="12" t="inlineStr">
        <is>
          <t>«Навязывание контакта с программой — идея для тех кому это надо, но таких людей маловато». «Я сам пойму»</t>
        </is>
      </c>
      <c r="H25" s="12" t="inlineStr">
        <is>
          <t>Принципиальная самодостаточность — идеологический отказ от внешней рефлексии (другой тип чем Р14)</t>
        </is>
      </c>
      <c r="I25" s="12" t="inlineStr">
        <is>
          <t>Нет. Зафиксирован второй тип не-аудитории: проблема есть, но внешняя помощь отвергается</t>
        </is>
      </c>
      <c r="J25" s="12" t="inlineStr">
        <is>
          <t>Не инвестировать в убеждение скептиков. Граница ICP: нужна ощущаемая проблема + открытость</t>
        </is>
      </c>
    </row>
    <row r="26">
      <c r="A26" s="12" t="inlineStr">
        <is>
          <t>Р22</t>
        </is>
      </c>
      <c r="B26" s="12" t="inlineStr">
        <is>
          <t>04.10.2026</t>
        </is>
      </c>
      <c r="C26" s="12" t="inlineStr">
        <is>
          <t>Живое интервью</t>
        </is>
      </c>
      <c r="D26" s="12" t="inlineStr">
        <is>
          <t>Нет</t>
        </is>
      </c>
      <c r="E26" s="12" t="inlineStr">
        <is>
          <t>Фрилансер (ИИ/машинное обучение), 40–45 лет</t>
        </is>
      </c>
      <c r="F26" s="12" t="inlineStr">
        <is>
          <t>Высокая саморефлексия, 15 лет самонаблюдения — проверка гипотезы о барьере логирования</t>
        </is>
      </c>
      <c r="G26" s="12" t="inlineStr">
        <is>
          <t>«Логирование занимает столько же времени, сколько само действие». «Если бы оно напоминало — я бы сделал»</t>
        </is>
      </c>
      <c r="H26" s="12" t="inlineStr">
        <is>
          <t>Сильнейшая PMF-формулировка: логирование = барьер сам по себе. Пассивный сбор убирает его полностью</t>
        </is>
      </c>
      <c r="I26" s="12" t="inlineStr">
        <is>
          <t>Да + лид на супругу (проблемы с засыпанием). Механику не понял без объяснения</t>
        </is>
      </c>
      <c r="J26" s="12" t="inlineStr">
        <is>
          <t>Экран «вот что приложение делает пока ты спишь». Лид: бессонница как отдельная точка входа</t>
        </is>
      </c>
    </row>
    <row r="27">
      <c r="A27" s="12" t="inlineStr">
        <is>
          <t>Р23</t>
        </is>
      </c>
      <c r="B27" s="12" t="inlineStr">
        <is>
          <t>05.10.2026</t>
        </is>
      </c>
      <c r="C27" s="12" t="inlineStr">
        <is>
          <t>Живое интервью</t>
        </is>
      </c>
      <c r="D27" s="12" t="inlineStr">
        <is>
          <t>Нет</t>
        </is>
      </c>
      <c r="E27" s="12" t="inlineStr">
        <is>
          <t>Офисная работа, ~30 лет, хобби (вязание)</t>
        </is>
      </c>
      <c r="F27" s="12" t="inlineStr">
        <is>
          <t>Активный трекер (цикл 10 лет, сон ментально, шаги) без системного инсайта — проверка гипотезы о новизне</t>
        </is>
      </c>
      <c r="G27" s="12" t="inlineStr">
        <is>
          <t>Нашла Screen Time с третьей попытки. Дала бы доступ к экрану и сну ("ничего конфиденциального"). Страх "ноишки": ИИ-агент может спереть данные. Если ничего не нужно интегрировать — поставит</t>
        </is>
      </c>
      <c r="H27" s="12" t="inlineStr">
        <is>
          <t>Инсайт должен быть новым — если подтверждает самодиагноз ("нет самодисциплины") — перестанет пользоваться. Новый барьер: ИИ-агент как отдельный вектор угрозы. Первый запрос на streak-геймификацию</t>
        </is>
      </c>
      <c r="I27" s="12" t="inlineStr">
        <is>
          <t>Условно. Основное условие: неочевидный инсайт + нулевое трение настройки</t>
        </is>
      </c>
      <c r="J27" s="12" t="inlineStr">
        <is>
          <t>Промпт должен давать новое, не отражать известное. Объяснять что ИИ видит паттерны, не сырые данные. Streak-механика — потенциальный инструмент удержания (roadmap)</t>
        </is>
      </c>
    </row>
    <row r="28">
      <c r="A28" s="12" t="inlineStr">
        <is>
          <t>Р24</t>
        </is>
      </c>
      <c r="B28" s="12" t="inlineStr">
        <is>
          <t>05.10.2026</t>
        </is>
      </c>
      <c r="C28" s="12" t="inlineStr">
        <is>
          <t>Живое интервью</t>
        </is>
      </c>
      <c r="D28" s="12" t="inlineStr">
        <is>
          <t>Нет</t>
        </is>
      </c>
      <c r="E28" s="12" t="inlineStr">
        <is>
          <t>Разработчик (удалённо, Петербург), 25–30 лет</t>
        </is>
      </c>
      <c r="F28" s="12" t="inlineStr">
        <is>
          <t>Технически грамотный, активно тренируется (3-4 раза/нед), замечает паттерны (TikTok-ловушка, курение-триггер). Не смотрит Screen Time — "страшно". Проверка гипотезы о прозрачности прогноза</t>
        </is>
      </c>
      <c r="G28" s="12" t="inlineStr">
        <is>
          <t>Список приложений — "довольно интимная информация". Крупным компаниям доверяет меньше (уже скомпрометированы), маленькому разработчику — больше. Хочет кнопку "почему такой прогноз" — видеть данные-основу. Попробовал бы</t>
        </is>
      </c>
      <c r="H28" s="12" t="inlineStr">
        <is>
          <t>Нестандартная логика доверия: большой = меньше доверия. Список приложений = интимная зона (первый кто явно назвал). Запрос на прозрачность прогноза. Уведомление "тяжёлый день" может "добивать" если уже плохо</t>
        </is>
      </c>
      <c r="I28" s="12" t="inlineStr">
        <is>
          <t>Да, условно. Требует объяснения прогноза и нулевого навязывания. Экранное время перетекает между устройствами — блокировка одного не решает задачу</t>
        </is>
      </c>
      <c r="J28" s="12" t="inlineStr">
        <is>
          <t>Кнопка "почему такой прогноз" — приоритет. Тон утренней нотификации: не "добивать". Дозированная информация (кратко/подробно). Тренды по дням. Объединение с данными компьютера — повторный запрос</t>
        </is>
      </c>
    </row>
    <row r="29">
      <c r="A29" s="12" t="inlineStr">
        <is>
          <t>Р25</t>
        </is>
      </c>
      <c r="B29" s="12" t="inlineStr">
        <is>
          <t>05.10.2026</t>
        </is>
      </c>
      <c r="C29" s="12" t="inlineStr">
        <is>
          <t>Текстовая переписка</t>
        </is>
      </c>
      <c r="D29" s="12" t="inlineStr">
        <is>
          <t>Нет</t>
        </is>
      </c>
      <c r="E29" s="12" t="inlineStr">
        <is>
          <t>Женщина, возраст н/у, работа + подработка</t>
        </is>
      </c>
      <c r="F29" s="12" t="inlineStr">
        <is>
          <t>Нулевой пользователь трекеров — не знала о встроенных функциях здоровья. Паттерны осознаны самостоятельно (интроверсия, цикл, рабочий стресс). Проверка восприятия у нетехничной аудитории без контекста</t>
        </is>
      </c>
      <c r="G29" s="12" t="inlineStr">
        <is>
          <t>Не знала о существовании Screen Time. Паттерны и так очевидны. Любопытство: сколько конкретно времени занял телефон. Дала разрешение — первое приложение которому давала. Иногда игнорирует вечерний чекин</t>
        </is>
      </c>
      <c r="H29" s="12" t="inlineStr">
        <is>
          <t>Ключевой вопрос: чем лучше встроенной программы здоровья в телефоне? Паттерны уже артикулированы без продукта. «Ничего не смущает, но непонятно как поможет». Высокий барьер разрешений (давала впервые)</t>
        </is>
      </c>
      <c r="I29" s="12" t="inlineStr">
        <is>
          <t>Условно. Нужно объяснить отличие от встроенного Health. Удалит при рекламе</t>
        </is>
      </c>
      <c r="J29" s="12" t="inlineStr">
        <is>
          <t>Onboarding должен отвечать на вопрос «чем лучше встроенного». Не пытаться открыть паттерны — они уже известны. Акцент на количественной стороне (сколько конкретно часов) как точке входа для нетрекеров</t>
        </is>
      </c>
    </row>
    <row r="30">
      <c r="A30" s="12" t="inlineStr">
        <is>
          <t>Р26</t>
        </is>
      </c>
      <c r="B30" s="12" t="inlineStr">
        <is>
          <t>06.10.2026</t>
        </is>
      </c>
      <c r="C30" s="12" t="inlineStr">
        <is>
          <t>Текстовая переписка</t>
        </is>
      </c>
      <c r="D30" s="12" t="inlineStr">
        <is>
          <t>Нет</t>
        </is>
      </c>
      <c r="E30" s="12" t="inlineStr">
        <is>
          <t>Женщина, возраст н/у, гибридная работа, активный ЗОЖ (теннис, сноуборд, вело)</t>
        </is>
      </c>
      <c r="F30" s="12" t="inlineStr">
        <is>
          <t>Продвинутый мультитрекер: браслет (сон/пульс/восстановление) + дневник эмоций + цикл. Аналитический склад, встроенная привычка анализировать. Принципиально против ручного ввода — идеальный ICP</t>
        </is>
      </c>
      <c r="G30" s="12" t="inlineStr">
        <is>
          <t>«Если данные не нужно вносить — интересно причинно-следственные связи». Screen Time смотрит осознанно. Барьер: обучение AI на сырых данных экрана (фото, переписки). Прогноз непонятен без механики. Умный вопрос: браузер с книгой ≠ браузер с видосиками — агрегат нерелевантен без контекста</t>
        </is>
      </c>
      <c r="H30" s="12" t="inlineStr">
        <is>
          <t>Идеальная формулировка ценности пассивного сбора: «браслет сам считает, думает». Первый кто поставил вопрос о нерелевантности агрегированного экранного времени без контекста. Барьер: обучение AI моделей на сырых данных</t>
        </is>
      </c>
      <c r="I30" s="12" t="inlineStr">
        <is>
          <t>Условно — потенциальный реферал. Нужна прозрачность: (1) только статистика, не скриншоты; (2) объяснение механики прогноза</t>
        </is>
      </c>
      <c r="J30" s="12" t="inlineStr">
        <is>
          <t>Явный дисклеймер: сбор только статистический (время в приложениях), не скриншоты/переписки, не обучение модели. Объяснять механику прогноза на онбординге. Контекст использования важнее агрегата времени</t>
        </is>
      </c>
    </row>
    <row r="31">
      <c r="A31" s="12" t="inlineStr">
        <is>
          <t>Р27</t>
        </is>
      </c>
      <c r="B31" s="12" t="inlineStr">
        <is>
          <t>07.10.2026</t>
        </is>
      </c>
      <c r="C31" s="12" t="inlineStr">
        <is>
          <t>Текстовая переписка</t>
        </is>
      </c>
      <c r="D31" s="12" t="inlineStr">
        <is>
          <t>Нет</t>
        </is>
      </c>
      <c r="E31" s="12" t="inlineStr">
        <is>
          <t>Мужчина, возраст н/у, работа + тренировки + творчество</t>
        </is>
      </c>
      <c r="F31" s="12" t="inlineStr">
        <is>
          <t>Самодекларированный трекер — «всегда отслеживаю всё». Следит за Screen Time. Паттерны уже осознаны и решены самостоятельно (разгрузка + спорт). Прагматичный аналитик</t>
        </is>
      </c>
      <c r="G31" s="12" t="inlineStr">
        <is>
          <t>Утилитарный барьер разрешений: «дам если понадобится для конкретной задачи». «Возможно, если почувствую необходимость» — не чувствует сейчас. Главный стоп: «лишний микроменеджмент»</t>
        </is>
      </c>
      <c r="H31" s="12" t="inlineStr">
        <is>
          <t>«Микроменеджмент» — ёмкая формулировка запрета: продукт должен информировать, не инструктировать. Пограничный ICP: инструменты уже есть. Утилитарный барьер — разрешение нужно обосновывать до запроса</t>
        </is>
      </c>
      <c r="I31" s="12" t="inlineStr">
        <is>
          <t>Пограничный — нет ощущения необходимости. Реферал нет</t>
        </is>
      </c>
      <c r="J31" s="12" t="inlineStr">
        <is>
          <t>Продукт информирует, не управляет — формулировка для UX-принципа. Разрешение запрашивать с объяснением конкретной пользы ДО запроса. Не навязывать уведомления и действия</t>
        </is>
      </c>
    </row>
  </sheetData>
  <dataValidations count="2">
    <dataValidation sqref="C5:C24" showDropDown="0" showInputMessage="0" showErrorMessage="0" allowBlank="1" type="list" errorStyle="stop" operator="between">
      <formula1>"Живое интервью,Текстовая переписка"</formula1>
      <formula2>0</formula2>
    </dataValidation>
    <dataValidation sqref="D5:D24" showDropDown="0" showInputMessage="0" showErrorMessage="0" allowBlank="1" type="list" errorStyle="stop" operator="between">
      <formula1>"Да,Нет"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5" customWidth="1" style="12" min="1" max="1"/>
    <col width="22" customWidth="1" style="12" min="2" max="2"/>
    <col width="28" customWidth="1" style="12" min="3" max="3"/>
    <col width="50" customWidth="1" style="12" min="4" max="4"/>
  </cols>
  <sheetData>
    <row r="1" ht="17.25" customHeight="1" s="13">
      <c r="A1" s="14" t="inlineStr">
        <is>
          <t>Итоги по всем интервью</t>
        </is>
      </c>
    </row>
    <row r="2"/>
    <row r="3" ht="15" customHeight="1" s="13">
      <c r="A3" s="18" t="inlineStr">
        <is>
          <t>Заполнено интервью</t>
        </is>
      </c>
      <c r="B3" s="24">
        <f>COUNTA(Интервью!E5:E27)</f>
        <v/>
      </c>
    </row>
    <row r="4" ht="15" customHeight="1" s="13">
      <c r="A4" s="18" t="inlineStr">
        <is>
          <t>Живых интервью</t>
        </is>
      </c>
      <c r="B4" s="24">
        <f>COUNTIF(Интервью!C5:C31,"Живое интервью")</f>
        <v/>
      </c>
    </row>
    <row r="5" ht="15" customHeight="1" s="13">
      <c r="A5" s="18" t="inlineStr">
        <is>
          <t>Текстом в переписке</t>
        </is>
      </c>
      <c r="B5" s="24">
        <f>COUNTIF(Интервью!C5:C31,"Текстовая переписка")</f>
        <v/>
      </c>
    </row>
    <row r="6" ht="15" customHeight="1" s="13">
      <c r="A6" s="18" t="inlineStr">
        <is>
          <t>Из них пробовали MVP</t>
        </is>
      </c>
      <c r="B6" s="24">
        <f>COUNTIF(Интервью!D5:D31,"Да")</f>
        <v/>
      </c>
    </row>
    <row r="7" ht="15" customHeight="1" s="13">
      <c r="A7" s="18" t="inlineStr">
        <is>
          <t>Осталось до 20</t>
        </is>
      </c>
      <c r="B7" s="24">
        <f>MAX(0,20-B3)</f>
        <v/>
      </c>
    </row>
    <row r="8"/>
    <row r="9" ht="15" customHeight="1" s="13">
      <c r="A9" s="17" t="inlineStr">
        <is>
          <t>Люди регулярно переживают «необъяснимые» плохие дни и хотят понять причину</t>
        </is>
      </c>
      <c r="B9" s="12" t="inlineStr">
        <is>
          <t>Подтверждена</t>
        </is>
      </c>
      <c r="C9" s="12" t="inlineStr">
        <is>
          <t>Р1, Р2, Р4, Р9, Р22</t>
        </is>
      </c>
      <c r="D9" s="12" t="inlineStr">
        <is>
          <t>Утренний прогноз формулируется как ответ на вопрос «почему сегодня может быть сложнее»</t>
        </is>
      </c>
    </row>
    <row r="10" ht="36" customHeight="1" s="13">
      <c r="A10" s="21" t="inlineStr">
        <is>
          <t>Пассивный сбор без ручного ввода — главный дифференциатор</t>
        </is>
      </c>
      <c r="B10" s="21" t="inlineStr">
        <is>
          <t>Подтверждена</t>
        </is>
      </c>
      <c r="C10" s="21" t="inlineStr">
        <is>
          <t>Р6, Р8, Р12, Р22</t>
        </is>
      </c>
      <c r="D10" s="21" t="inlineStr">
        <is>
          <t>Core value prop зафиксирован. Никаких форм ввода в продукте</t>
        </is>
      </c>
    </row>
    <row r="11" ht="45" customHeight="1" s="13">
      <c r="A11" s="19" t="inlineStr">
        <is>
          <t>Шаблонность прогнозов — основная причина удаления</t>
        </is>
      </c>
      <c r="B11" s="19" t="inlineStr">
        <is>
          <t>Подтверждена</t>
        </is>
      </c>
      <c r="C11" s="19" t="inlineStr">
        <is>
          <t>Р5, Р7, Р12, Р15</t>
        </is>
      </c>
      <c r="D11" s="19" t="inlineStr">
        <is>
          <t>LLM-промпт использует историю пользователя; формулировки вариативны</t>
        </is>
      </c>
    </row>
    <row r="12" ht="45" customHeight="1" s="13">
      <c r="A12" s="19" t="inlineStr">
        <is>
          <t>Барьер приватности преодолевается объяснением, а не умолчанием</t>
        </is>
      </c>
      <c r="B12" s="19" t="inlineStr">
        <is>
          <t>Подтверждена</t>
        </is>
      </c>
      <c r="C12" s="19" t="inlineStr">
        <is>
          <t>Р5, Р13, Р17, Р20</t>
        </is>
      </c>
      <c r="D12" s="19" t="inlineStr">
        <is>
          <t>Онбординг: один экран с объяснением что собирается и что нет (особо — данные о сне)</t>
        </is>
      </c>
    </row>
    <row r="13" ht="45" customHeight="1" s="13">
      <c r="A13" s="19" t="inlineStr">
        <is>
          <t>Разрешения нужно запрашивать после демо ценности, не до</t>
        </is>
      </c>
      <c r="B13" s="19" t="inlineStr">
        <is>
          <t>Подтверждена</t>
        </is>
      </c>
      <c r="C13" s="19" t="inlineStr">
        <is>
          <t>Р18, Р22</t>
        </is>
      </c>
      <c r="D13" s="19" t="inlineStr">
        <is>
          <t>Поздний permission flow: сначала пример инсайта, потом запрос доступа</t>
        </is>
      </c>
    </row>
    <row r="14" ht="45" customHeight="1" s="13">
      <c r="A14" s="19" t="inlineStr">
        <is>
          <t>Аудитория однородна — все пользуются продуктом</t>
        </is>
      </c>
      <c r="B14" s="19" t="inlineStr">
        <is>
          <t>Опровергнута</t>
        </is>
      </c>
      <c r="C14" s="19" t="inlineStr">
        <is>
          <t>Р14, Р21</t>
        </is>
      </c>
      <c r="D14" s="19" t="inlineStr">
        <is>
          <t>Два типа не-аудитории зафиксированы: аналитически самодостаточные и принципиальные скептики</t>
        </is>
      </c>
    </row>
    <row r="15" ht="45" customHeight="1" s="13">
      <c r="A15" s="19" t="inlineStr">
        <is>
          <t>iOS — порт необходим</t>
        </is>
      </c>
      <c r="B15" s="19" t="inlineStr">
        <is>
          <t>Опровергнута</t>
        </is>
      </c>
      <c r="C15" s="19" t="inlineStr">
        <is>
          <t>Р2, Р12</t>
        </is>
      </c>
      <c r="D15" s="19" t="inlineStr">
        <is>
          <t>iOS — отдельный waitlist, не порт. Нет Watch API для пассивного сбора</t>
        </is>
      </c>
    </row>
    <row r="16" ht="45" customHeight="1" s="13">
      <c r="A16" s="19" t="n"/>
      <c r="B16" s="19" t="n"/>
      <c r="C16" s="19" t="n"/>
      <c r="D16" s="19" t="n"/>
    </row>
    <row r="17">
      <c r="A17" s="12" t="inlineStr">
        <is>
          <t>Главные выводы</t>
        </is>
      </c>
    </row>
    <row r="18" ht="15" customHeight="1" s="13">
      <c r="A18" s="17" t="inlineStr">
        <is>
          <t>20/22 респондентов готовы попробовать продукт (Да или Условно). 2 полных отказа — аналитически самодостаточные и принципиальные скептики. Главные барьеры по частоте: шаблонность прогнозов (4/22), приватность данных (4/22), разрешения «с лёту» без объяснения (2/22), батарея (1/22). Главная формулировка ценности: «пассивный сбор без ручного ввода» — не нужна новая привычка.</t>
        </is>
      </c>
    </row>
    <row r="19" ht="120" customHeight="1" s="13">
      <c r="A19" s="19" t="n"/>
      <c r="B19" s="25" t="n"/>
      <c r="C19" s="25" t="n"/>
      <c r="D19" s="20" t="n"/>
    </row>
  </sheetData>
  <mergeCells count="1">
    <mergeCell ref="A19:D19"/>
  </mergeCells>
  <dataValidations count="1">
    <dataValidation sqref="B11:B16" showDropDown="0" showInputMessage="0" showErrorMessage="0" allowBlank="1" type="list" errorStyle="stop" operator="between">
      <formula1>"Подтвердилась,Не подтвердилась,Частично"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2026-10-04T18:21:03Z</dcterms:created>
  <dcterms:modified xsi:type="dcterms:W3CDTF">2026-10-07T15:33:55Z</dcterms:modified>
  <cp:revision>0</cp:revision>
</cp:coreProperties>
</file>